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I Formula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sz val="10"/>
    </font>
    <font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/>
      <right/>
      <top style="thin">
        <color rgb="00BDC3C7"/>
      </top>
      <bottom/>
      <diagonal/>
    </border>
    <border>
      <left/>
      <right style="thin">
        <color rgb="00BDC3C7"/>
      </right>
      <top style="thin">
        <color rgb="00BDC3C7"/>
      </top>
      <bottom/>
      <diagonal/>
    </border>
    <border>
      <left/>
      <right/>
      <top style="thin">
        <color rgb="00BDC3C7"/>
      </top>
      <bottom style="thin">
        <color rgb="00BDC3C7"/>
      </bottom>
      <diagonal/>
    </border>
    <border>
      <left/>
      <right style="thin">
        <color rgb="00BDC3C7"/>
      </right>
      <top style="thin">
        <color rgb="00BDC3C7"/>
      </top>
      <bottom style="thin">
        <color rgb="00BDC3C7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4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3" fontId="3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3" fontId="4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NII FORMULA — WORKED EXAMPLE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8" customHeight="1"/>
    <row r="3" ht="18" customHeight="1">
      <c r="A3" s="4" t="inlineStr">
        <is>
          <t>PRODUCT PARAMETERS</t>
        </is>
      </c>
      <c r="B3" s="2" t="n"/>
      <c r="C3" s="2" t="n"/>
      <c r="D3" s="2" t="n"/>
      <c r="E3" s="2" t="n"/>
      <c r="F3" s="2" t="n"/>
      <c r="G3" s="2" t="n"/>
      <c r="H3" s="3" t="n"/>
    </row>
    <row r="4">
      <c r="A4" s="5" t="inlineStr">
        <is>
          <t>Parameter</t>
        </is>
      </c>
      <c r="B4" s="5" t="inlineStr">
        <is>
          <t>Value (Fixed)</t>
        </is>
      </c>
      <c r="C4" s="5" t="inlineStr">
        <is>
          <t>Value (Float)</t>
        </is>
      </c>
    </row>
    <row r="5">
      <c r="A5" s="6" t="inlineStr">
        <is>
          <t>cohort_id</t>
        </is>
      </c>
      <c r="B5" s="7" t="inlineStr">
        <is>
          <t>3000_A_PLN_2020_09</t>
        </is>
      </c>
      <c r="C5" s="7" t="inlineStr">
        <is>
          <t>1100_A_PLN_2024_12</t>
        </is>
      </c>
    </row>
    <row r="6">
      <c r="A6" s="8" t="inlineStr">
        <is>
          <t>product</t>
        </is>
      </c>
      <c r="B6" s="9" t="inlineStr">
        <is>
          <t>bond_fixed (3000)</t>
        </is>
      </c>
      <c r="C6" s="9" t="inlineStr">
        <is>
          <t>mortgage_float (1100)</t>
        </is>
      </c>
    </row>
    <row r="7">
      <c r="A7" s="6" t="inlineStr">
        <is>
          <t>bs_side</t>
        </is>
      </c>
      <c r="B7" s="7" t="inlineStr">
        <is>
          <t>Asset</t>
        </is>
      </c>
      <c r="C7" s="7" t="inlineStr">
        <is>
          <t>Asset</t>
        </is>
      </c>
    </row>
    <row r="8">
      <c r="A8" s="8" t="inlineStr">
        <is>
          <t>balance (PLN)</t>
        </is>
      </c>
      <c r="B8" s="10" t="n">
        <v>97555000</v>
      </c>
      <c r="C8" s="10" t="n">
        <v>184729957.32</v>
      </c>
    </row>
    <row r="9">
      <c r="A9" s="6" t="inlineStr">
        <is>
          <t>rate_type</t>
        </is>
      </c>
      <c r="B9" s="7" t="inlineStr">
        <is>
          <t>Fixed (F)</t>
        </is>
      </c>
      <c r="C9" s="7" t="inlineStr">
        <is>
          <t>Floating (V)</t>
        </is>
      </c>
    </row>
    <row r="10">
      <c r="A10" s="8" t="inlineStr">
        <is>
          <t>coupon_rate</t>
        </is>
      </c>
      <c r="B10" s="11" t="n">
        <v>0.003</v>
      </c>
      <c r="C10" s="9" t="inlineStr">
        <is>
          <t>n/a (no contractual rate)</t>
        </is>
      </c>
    </row>
    <row r="11">
      <c r="A11" s="6" t="inlineStr">
        <is>
          <t>repricing_tenor_m</t>
        </is>
      </c>
      <c r="B11" s="12" t="n">
        <v>8.968462549277266</v>
      </c>
      <c r="C11" s="12" t="n">
        <v>3</v>
      </c>
    </row>
    <row r="12">
      <c r="A12" s="8" t="inlineStr">
        <is>
          <t>coeff_a</t>
        </is>
      </c>
      <c r="B12" s="11" t="n">
        <v>1</v>
      </c>
      <c r="C12" s="11" t="n">
        <v>1</v>
      </c>
    </row>
    <row r="13">
      <c r="A13" s="6" t="inlineStr">
        <is>
          <t>floor</t>
        </is>
      </c>
      <c r="B13" s="7" t="inlineStr">
        <is>
          <t>none</t>
        </is>
      </c>
      <c r="C13" s="7" t="inlineStr">
        <is>
          <t>none</t>
        </is>
      </c>
    </row>
    <row r="14">
      <c r="A14" s="8" t="inlineStr">
        <is>
          <t>nii_unit_rate (L1)</t>
        </is>
      </c>
      <c r="B14" s="11" t="n">
        <v>0.05848661446666666</v>
      </c>
      <c r="C14" s="11" t="n">
        <v>0.07331377814999999</v>
      </c>
    </row>
    <row r="16" ht="18" customHeight="1">
      <c r="A16" s="4" t="inlineStr">
        <is>
          <t>FORWARD CURVE — PLN (annualised, monthly)</t>
        </is>
      </c>
      <c r="B16" s="2" t="n"/>
      <c r="C16" s="2" t="n"/>
      <c r="D16" s="2" t="n"/>
      <c r="E16" s="2" t="n"/>
      <c r="F16" s="3" t="n"/>
    </row>
    <row r="17">
      <c r="A17" s="5" t="inlineStr">
        <is>
          <t>Month</t>
        </is>
      </c>
      <c r="B17" s="5" t="inlineStr">
        <is>
          <t>base</t>
        </is>
      </c>
      <c r="C17" s="5" t="inlineStr">
        <is>
          <t>par_up</t>
        </is>
      </c>
      <c r="D17" s="5" t="inlineStr">
        <is>
          <t>par_dn</t>
        </is>
      </c>
      <c r="E17" s="5" t="inlineStr">
        <is>
          <t>sr_up</t>
        </is>
      </c>
      <c r="F17" s="5" t="inlineStr">
        <is>
          <t>sr_dn</t>
        </is>
      </c>
    </row>
    <row r="18">
      <c r="A18" s="13" t="n">
        <v>1</v>
      </c>
      <c r="B18" s="14" t="n">
        <v>0.05823012845958075</v>
      </c>
      <c r="C18" s="14" t="n">
        <v>0.08337763539768606</v>
      </c>
      <c r="D18" s="14" t="n">
        <v>0.03313495783124143</v>
      </c>
      <c r="E18" s="14" t="n">
        <v>0.09058494191407451</v>
      </c>
      <c r="F18" s="14" t="n">
        <v>0.02596201515740582</v>
      </c>
    </row>
    <row r="19">
      <c r="A19" s="15" t="n">
        <v>2</v>
      </c>
      <c r="B19" s="11" t="n">
        <v>0.05828270643928413</v>
      </c>
      <c r="C19" s="11" t="n">
        <v>0.08343029769667965</v>
      </c>
      <c r="D19" s="11" t="n">
        <v>0.03318739419739991</v>
      </c>
      <c r="E19" s="11" t="n">
        <v>0.08541399951059603</v>
      </c>
      <c r="F19" s="11" t="n">
        <v>0.03121212217135927</v>
      </c>
    </row>
    <row r="20">
      <c r="A20" s="13" t="n">
        <v>3</v>
      </c>
      <c r="B20" s="14" t="n">
        <v>0.05819812784934442</v>
      </c>
      <c r="C20" s="14" t="n">
        <v>0.0833455256246376</v>
      </c>
      <c r="D20" s="14" t="n">
        <v>0.03310298833364822</v>
      </c>
      <c r="E20" s="14" t="n">
        <v>0.08090005328951122</v>
      </c>
      <c r="F20" s="14" t="n">
        <v>0.03553885026571191</v>
      </c>
    </row>
    <row r="21">
      <c r="A21" s="15" t="n">
        <v>4</v>
      </c>
      <c r="B21" s="11" t="n">
        <v>0.05646180620331442</v>
      </c>
      <c r="C21" s="11" t="n">
        <v>0.08160569400560735</v>
      </c>
      <c r="D21" s="11" t="n">
        <v>0.03137046085845174</v>
      </c>
      <c r="E21" s="11" t="n">
        <v>0.07508284011927469</v>
      </c>
      <c r="F21" s="11" t="n">
        <v>0.03786964188954034</v>
      </c>
    </row>
    <row r="22">
      <c r="A22" s="13" t="n">
        <v>5</v>
      </c>
      <c r="B22" s="14" t="n">
        <v>0.0564619562542541</v>
      </c>
      <c r="C22" s="14" t="n">
        <v>0.08160577479929909</v>
      </c>
      <c r="D22" s="14" t="n">
        <v>0.03137044774720366</v>
      </c>
      <c r="E22" s="14" t="n">
        <v>0.07164878811003739</v>
      </c>
      <c r="F22" s="14" t="n">
        <v>0.04129422400564131</v>
      </c>
    </row>
    <row r="23">
      <c r="A23" s="15" t="n">
        <v>6</v>
      </c>
      <c r="B23" s="11" t="n">
        <v>0.05623366394413676</v>
      </c>
      <c r="C23" s="11" t="n">
        <v>0.08137699475581606</v>
      </c>
      <c r="D23" s="11" t="n">
        <v>0.03114263299087749</v>
      </c>
      <c r="E23" s="11" t="n">
        <v>0.06827959098972869</v>
      </c>
      <c r="F23" s="11" t="n">
        <v>0.04419966036698142</v>
      </c>
    </row>
    <row r="24">
      <c r="A24" s="13" t="n">
        <v>7</v>
      </c>
      <c r="B24" s="14" t="n">
        <v>0.05218699851285535</v>
      </c>
      <c r="C24" s="14" t="n">
        <v>0.07732181937405702</v>
      </c>
      <c r="D24" s="14" t="n">
        <v>0.0271044791571029</v>
      </c>
      <c r="E24" s="14" t="n">
        <v>0.06160514799531924</v>
      </c>
      <c r="F24" s="14" t="n">
        <v>0.04277633887157073</v>
      </c>
    </row>
    <row r="25">
      <c r="A25" s="15" t="n">
        <v>8</v>
      </c>
      <c r="B25" s="11" t="n">
        <v>0.0521869832353028</v>
      </c>
      <c r="C25" s="11" t="n">
        <v>0.07732191304285507</v>
      </c>
      <c r="D25" s="11" t="n">
        <v>0.02710438393443315</v>
      </c>
      <c r="E25" s="11" t="n">
        <v>0.05927919197835241</v>
      </c>
      <c r="F25" s="11" t="n">
        <v>0.04509891772995012</v>
      </c>
    </row>
    <row r="26">
      <c r="A26" s="13" t="n">
        <v>9</v>
      </c>
      <c r="B26" s="14" t="n">
        <v>0.05218710132025794</v>
      </c>
      <c r="C26" s="14" t="n">
        <v>0.077322035696481</v>
      </c>
      <c r="D26" s="14" t="n">
        <v>0.02710450226559669</v>
      </c>
      <c r="E26" s="14" t="n">
        <v>0.05724148435256549</v>
      </c>
      <c r="F26" s="14" t="n">
        <v>0.047134689325806</v>
      </c>
    </row>
    <row r="27">
      <c r="A27" s="15" t="n">
        <v>10</v>
      </c>
      <c r="B27" s="11" t="n">
        <v>0.05218698188248094</v>
      </c>
      <c r="C27" s="11" t="n">
        <v>0.07732186227991988</v>
      </c>
      <c r="D27" s="11" t="n">
        <v>0.02710438248697766</v>
      </c>
      <c r="E27" s="11" t="n">
        <v>0.05553219336042137</v>
      </c>
      <c r="F27" s="11" t="n">
        <v>0.04884287540280141</v>
      </c>
    </row>
    <row r="28">
      <c r="A28" s="13" t="n">
        <v>11</v>
      </c>
      <c r="B28" s="14" t="n">
        <v>0.05218707333299744</v>
      </c>
      <c r="C28" s="14" t="n">
        <v>0.07732186848169764</v>
      </c>
      <c r="D28" s="14" t="n">
        <v>0.02710437409350774</v>
      </c>
      <c r="E28" s="14" t="n">
        <v>0.05403246187231758</v>
      </c>
      <c r="F28" s="14" t="n">
        <v>0.05034190799828142</v>
      </c>
    </row>
    <row r="29">
      <c r="A29" s="15" t="n">
        <v>12</v>
      </c>
      <c r="B29" s="11" t="n">
        <v>0.05192919864063761</v>
      </c>
      <c r="C29" s="11" t="n">
        <v>0.07706362749640316</v>
      </c>
      <c r="D29" s="11" t="n">
        <v>0.02684721818528946</v>
      </c>
      <c r="E29" s="11" t="n">
        <v>0.05249857491302645</v>
      </c>
      <c r="F29" s="11" t="n">
        <v>0.05135982297793174</v>
      </c>
    </row>
    <row r="31" ht="18" customHeight="1">
      <c r="A31" s="16" t="inlineStr">
        <is>
          <t>FIXED COHORT  ·  3000_A_PLN_2020_09  ·  coupon 0.3000%  ·  rep_m 9m  ·  balance 97,555,000 PLN</t>
        </is>
      </c>
      <c r="B31" s="2" t="n"/>
      <c r="C31" s="2" t="n"/>
      <c r="D31" s="2" t="n"/>
      <c r="E31" s="2" t="n"/>
      <c r="F31" s="2" t="n"/>
      <c r="G31" s="3" t="n"/>
    </row>
    <row r="32">
      <c r="A32" s="17" t="inlineStr">
        <is>
          <t>Step</t>
        </is>
      </c>
      <c r="B32" s="17" t="inlineStr">
        <is>
          <t>Formula</t>
        </is>
      </c>
      <c r="C32" s="5" t="inlineStr">
        <is>
          <t>base</t>
        </is>
      </c>
      <c r="D32" s="5" t="inlineStr">
        <is>
          <t>par_up</t>
        </is>
      </c>
      <c r="E32" s="5" t="inlineStr">
        <is>
          <t>par_dn</t>
        </is>
      </c>
      <c r="F32" s="5" t="inlineStr">
        <is>
          <t>sr_up</t>
        </is>
      </c>
      <c r="G32" s="5" t="inlineStr">
        <is>
          <t>sr_dn</t>
        </is>
      </c>
    </row>
    <row r="33">
      <c r="A33" s="7" t="inlineStr">
        <is>
          <t>pre_months</t>
        </is>
      </c>
      <c r="B33" s="18" t="inlineStr">
        <is>
          <t>min(rep_m, 12)</t>
        </is>
      </c>
      <c r="C33" s="7" t="n">
        <v>8</v>
      </c>
      <c r="D33" s="7" t="n">
        <v>8</v>
      </c>
      <c r="E33" s="7" t="n">
        <v>8</v>
      </c>
      <c r="F33" s="7" t="n">
        <v>8</v>
      </c>
      <c r="G33" s="7" t="n">
        <v>8</v>
      </c>
    </row>
    <row r="34">
      <c r="A34" s="9" t="inlineStr">
        <is>
          <t>post_months</t>
        </is>
      </c>
      <c r="B34" s="19" t="inlineStr">
        <is>
          <t>max(12 - rep_m, 0)</t>
        </is>
      </c>
      <c r="C34" s="9" t="n">
        <v>4</v>
      </c>
      <c r="D34" s="9" t="n">
        <v>4</v>
      </c>
      <c r="E34" s="9" t="n">
        <v>4</v>
      </c>
      <c r="F34" s="9" t="n">
        <v>4</v>
      </c>
      <c r="G34" s="9" t="n">
        <v>4</v>
      </c>
    </row>
    <row r="35">
      <c r="A35" s="7" t="inlineStr">
        <is>
          <t>NII pre-repricing</t>
        </is>
      </c>
      <c r="B35" s="18" t="inlineStr">
        <is>
          <t>balance × coupon × pre_m/12</t>
        </is>
      </c>
      <c r="C35" s="20" t="n">
        <v>195110</v>
      </c>
      <c r="D35" s="20" t="n">
        <v>195110</v>
      </c>
      <c r="E35" s="20" t="n">
        <v>195110</v>
      </c>
      <c r="F35" s="20" t="n">
        <v>195110</v>
      </c>
      <c r="G35" s="20" t="n">
        <v>195110</v>
      </c>
    </row>
    <row r="36">
      <c r="A36" s="9" t="inlineStr">
        <is>
          <t>avg fwd BASE [pre..12]</t>
        </is>
      </c>
      <c r="B36" s="19" t="inlineStr">
        <is>
          <t>avg of base fwd[pre_m : 12]</t>
        </is>
      </c>
      <c r="C36" s="11" t="n">
        <v>0.05212258879409348</v>
      </c>
      <c r="D36" s="11" t="n">
        <v>0.05212258879409348</v>
      </c>
      <c r="E36" s="11" t="n">
        <v>0.05212258879409348</v>
      </c>
      <c r="F36" s="11" t="n">
        <v>0.05212258879409348</v>
      </c>
      <c r="G36" s="11" t="n">
        <v>0.05212258879409348</v>
      </c>
    </row>
    <row r="37">
      <c r="A37" s="7" t="inlineStr">
        <is>
          <t>avg fwd SHOCKED [pre..12]</t>
        </is>
      </c>
      <c r="B37" s="18" t="inlineStr">
        <is>
          <t>avg of scenario fwd[pre_m : 12]</t>
        </is>
      </c>
      <c r="C37" s="14" t="n">
        <v>0.05212258879409348</v>
      </c>
      <c r="D37" s="14" t="n">
        <v>0.07725734848862542</v>
      </c>
      <c r="E37" s="14" t="n">
        <v>0.02704011925784289</v>
      </c>
      <c r="F37" s="14" t="n">
        <v>0.05482617862458272</v>
      </c>
      <c r="G37" s="14" t="n">
        <v>0.04941982392620514</v>
      </c>
    </row>
    <row r="38">
      <c r="A38" s="9" t="inlineStr">
        <is>
          <t>renewal rate BASE</t>
        </is>
      </c>
      <c r="B38" s="19" t="inlineStr">
        <is>
          <t>coeff_a × avg_fwd_base</t>
        </is>
      </c>
      <c r="C38" s="11" t="n">
        <v>0.05212258879409348</v>
      </c>
      <c r="D38" s="11" t="n">
        <v>0.05212258879409348</v>
      </c>
      <c r="E38" s="11" t="n">
        <v>0.05212258879409348</v>
      </c>
      <c r="F38" s="11" t="n">
        <v>0.05212258879409348</v>
      </c>
      <c r="G38" s="11" t="n">
        <v>0.05212258879409348</v>
      </c>
    </row>
    <row r="39">
      <c r="A39" s="7" t="inlineStr">
        <is>
          <t>renewal rate SHOCKED</t>
        </is>
      </c>
      <c r="B39" s="18" t="inlineStr">
        <is>
          <t>coeff_a × avg_fwd_shocked</t>
        </is>
      </c>
      <c r="C39" s="14" t="n">
        <v>0.05212258879409348</v>
      </c>
      <c r="D39" s="14" t="n">
        <v>0.07725734848862542</v>
      </c>
      <c r="E39" s="14" t="n">
        <v>0.02704011925784289</v>
      </c>
      <c r="F39" s="14" t="n">
        <v>0.05482617862458272</v>
      </c>
      <c r="G39" s="14" t="n">
        <v>0.04941982392620514</v>
      </c>
    </row>
    <row r="40">
      <c r="A40" s="9" t="inlineStr">
        <is>
          <t>NII post BASE</t>
        </is>
      </c>
      <c r="B40" s="19" t="inlineStr">
        <is>
          <t>balance × renewal_base × post_m/12</t>
        </is>
      </c>
      <c r="C40" s="10" t="n">
        <v>1694939.716602596</v>
      </c>
      <c r="D40" s="10" t="n">
        <v>1694939.716602596</v>
      </c>
      <c r="E40" s="10" t="n">
        <v>1694939.716602596</v>
      </c>
      <c r="F40" s="10" t="n">
        <v>1694939.716602596</v>
      </c>
      <c r="G40" s="10" t="n">
        <v>1694939.716602596</v>
      </c>
    </row>
    <row r="41">
      <c r="A41" s="7" t="inlineStr">
        <is>
          <t>NII post SHOCKED</t>
        </is>
      </c>
      <c r="B41" s="18" t="inlineStr">
        <is>
          <t>balance × renewal_shocked × post_m/12</t>
        </is>
      </c>
      <c r="C41" s="20" t="n">
        <v>1694939.716602596</v>
      </c>
      <c r="D41" s="20" t="n">
        <v>2512280.210602617</v>
      </c>
      <c r="E41" s="20" t="n">
        <v>879299.6113996209</v>
      </c>
      <c r="F41" s="20" t="n">
        <v>1782855.951907056</v>
      </c>
      <c r="G41" s="20" t="n">
        <v>1607050.307706981</v>
      </c>
    </row>
    <row r="42">
      <c r="A42" s="21" t="inlineStr">
        <is>
          <t>── TOTAL NII (formula)──</t>
        </is>
      </c>
      <c r="B42" s="21">
        <f> NII_pre + NII_post_shocked</f>
        <v/>
      </c>
      <c r="C42" s="22" t="n">
        <v>1890049.716602596</v>
      </c>
      <c r="D42" s="22" t="n">
        <v>2707390.210602617</v>
      </c>
      <c r="E42" s="22" t="n">
        <v>1074409.611399621</v>
      </c>
      <c r="F42" s="22" t="n">
        <v>1977965.951907056</v>
      </c>
      <c r="G42" s="22" t="n">
        <v>1802160.307706981</v>
      </c>
    </row>
    <row r="43">
      <c r="A43" s="21" t="inlineStr">
        <is>
          <t>── delta NII (formula)──</t>
        </is>
      </c>
      <c r="B43" s="21">
        <f> NII_post_shocked - NII_post_base</f>
        <v/>
      </c>
      <c r="C43" s="22" t="n">
        <v>0</v>
      </c>
      <c r="D43" s="22" t="n">
        <v>817340.4940000209</v>
      </c>
      <c r="E43" s="22" t="n">
        <v>-815640.1052029756</v>
      </c>
      <c r="F43" s="22" t="n">
        <v>87916.23530445923</v>
      </c>
      <c r="G43" s="22" t="n">
        <v>-87889.40889561549</v>
      </c>
    </row>
    <row r="44">
      <c r="A44" s="21" t="inlineStr">
        <is>
          <t>── Level 1 NII ────────</t>
        </is>
      </c>
      <c r="B44" s="21" t="inlineStr">
        <is>
          <t>balance × nii_unit_rate  [L1 base]</t>
        </is>
      </c>
      <c r="C44" s="22" t="n">
        <v>5705661.674295667</v>
      </c>
      <c r="D44" s="22" t="n">
        <v>5705661.674295667</v>
      </c>
      <c r="E44" s="22" t="n">
        <v>5705661.674295667</v>
      </c>
      <c r="F44" s="22" t="n">
        <v>5705661.674295667</v>
      </c>
      <c r="G44" s="22" t="n">
        <v>5705661.674295667</v>
      </c>
    </row>
    <row r="45">
      <c r="A45" s="21" t="inlineStr">
        <is>
          <t>── Level 1 delta NII ──</t>
        </is>
      </c>
      <c r="B45" s="21" t="inlineStr">
        <is>
          <t>balance × delta_nii_unit  [L1 delta]</t>
        </is>
      </c>
      <c r="C45" s="22" t="n">
        <v>0</v>
      </c>
      <c r="D45" s="22" t="n">
        <v>52544.90093987539</v>
      </c>
      <c r="E45" s="22" t="n">
        <v>-51572.15483316662</v>
      </c>
      <c r="F45" s="22" t="n">
        <v>34728.12886937548</v>
      </c>
      <c r="G45" s="22" t="n">
        <v>-34300.55912466656</v>
      </c>
    </row>
    <row r="47" ht="18" customHeight="1">
      <c r="A47" s="23" t="inlineStr">
        <is>
          <t>FLOATING COHORT  ·  1100_A_PLN_2024_12  ·  rep_m 3m  ·  balance 184,729,957 PLN</t>
        </is>
      </c>
      <c r="B47" s="2" t="n"/>
      <c r="C47" s="2" t="n"/>
      <c r="D47" s="2" t="n"/>
      <c r="E47" s="2" t="n"/>
      <c r="F47" s="2" t="n"/>
      <c r="G47" s="3" t="n"/>
    </row>
    <row r="48">
      <c r="A48" s="17" t="inlineStr">
        <is>
          <t>Step</t>
        </is>
      </c>
      <c r="B48" s="17" t="inlineStr">
        <is>
          <t>Formula</t>
        </is>
      </c>
      <c r="C48" s="5" t="inlineStr">
        <is>
          <t>base</t>
        </is>
      </c>
      <c r="D48" s="5" t="inlineStr">
        <is>
          <t>par_up</t>
        </is>
      </c>
      <c r="E48" s="5" t="inlineStr">
        <is>
          <t>par_dn</t>
        </is>
      </c>
      <c r="F48" s="5" t="inlineStr">
        <is>
          <t>sr_up</t>
        </is>
      </c>
      <c r="G48" s="5" t="inlineStr">
        <is>
          <t>sr_dn</t>
        </is>
      </c>
    </row>
    <row r="49">
      <c r="A49" s="7" t="inlineStr">
        <is>
          <t>pre_months</t>
        </is>
      </c>
      <c r="B49" s="18" t="inlineStr">
        <is>
          <t>min(rep_m, 12)</t>
        </is>
      </c>
      <c r="C49" s="7" t="n">
        <v>3</v>
      </c>
      <c r="D49" s="7" t="n">
        <v>3</v>
      </c>
      <c r="E49" s="7" t="n">
        <v>3</v>
      </c>
      <c r="F49" s="7" t="n">
        <v>3</v>
      </c>
      <c r="G49" s="7" t="n">
        <v>3</v>
      </c>
    </row>
    <row r="50">
      <c r="A50" s="9" t="inlineStr">
        <is>
          <t>post_months</t>
        </is>
      </c>
      <c r="B50" s="19" t="inlineStr">
        <is>
          <t>max(12 - rep_m, 0)</t>
        </is>
      </c>
      <c r="C50" s="9" t="n">
        <v>9</v>
      </c>
      <c r="D50" s="9" t="n">
        <v>9</v>
      </c>
      <c r="E50" s="9" t="n">
        <v>9</v>
      </c>
      <c r="F50" s="9" t="n">
        <v>9</v>
      </c>
      <c r="G50" s="9" t="n">
        <v>9</v>
      </c>
    </row>
    <row r="51">
      <c r="A51" s="7" t="inlineStr">
        <is>
          <t>avg fwd BASE [0..pre]</t>
        </is>
      </c>
      <c r="B51" s="18" t="inlineStr">
        <is>
          <t>avg of base fwd[0 : pre_m]</t>
        </is>
      </c>
      <c r="C51" s="14" t="n">
        <v>0.05823698758273643</v>
      </c>
      <c r="D51" s="14" t="n">
        <v>0.05823698758273643</v>
      </c>
      <c r="E51" s="14" t="n">
        <v>0.05823698758273643</v>
      </c>
      <c r="F51" s="14" t="n">
        <v>0.05823698758273643</v>
      </c>
      <c r="G51" s="14" t="n">
        <v>0.05823698758273643</v>
      </c>
    </row>
    <row r="52">
      <c r="A52" s="9" t="inlineStr">
        <is>
          <t>pre rate (locked)</t>
        </is>
      </c>
      <c r="B52" s="19" t="inlineStr">
        <is>
          <t>coeff_a × avg_pre_fwd_base</t>
        </is>
      </c>
      <c r="C52" s="11" t="n">
        <v>0.05823698758273643</v>
      </c>
      <c r="D52" s="11" t="n">
        <v>0.05823698758273643</v>
      </c>
      <c r="E52" s="11" t="n">
        <v>0.05823698758273643</v>
      </c>
      <c r="F52" s="11" t="n">
        <v>0.05823698758273643</v>
      </c>
      <c r="G52" s="11" t="n">
        <v>0.05823698758273643</v>
      </c>
    </row>
    <row r="53">
      <c r="A53" s="7" t="inlineStr">
        <is>
          <t>NII pre-repricing</t>
        </is>
      </c>
      <c r="B53" s="18" t="inlineStr">
        <is>
          <t>balance × pre_rate × pre_m/12</t>
        </is>
      </c>
      <c r="C53" s="20" t="n">
        <v>2689529.057651068</v>
      </c>
      <c r="D53" s="20" t="n">
        <v>2689529.057651068</v>
      </c>
      <c r="E53" s="20" t="n">
        <v>2689529.057651068</v>
      </c>
      <c r="F53" s="20" t="n">
        <v>2689529.057651068</v>
      </c>
      <c r="G53" s="20" t="n">
        <v>2689529.057651068</v>
      </c>
    </row>
    <row r="54">
      <c r="A54" s="9" t="inlineStr">
        <is>
          <t>avg fwd BASE [pre..12]</t>
        </is>
      </c>
      <c r="B54" s="19" t="inlineStr">
        <is>
          <t>avg of base fwd[pre_m : 12]</t>
        </is>
      </c>
      <c r="C54" s="11" t="n">
        <v>0.05355797370291526</v>
      </c>
      <c r="D54" s="11" t="n">
        <v>0.05355797370291526</v>
      </c>
      <c r="E54" s="11" t="n">
        <v>0.05355797370291526</v>
      </c>
      <c r="F54" s="11" t="n">
        <v>0.05355797370291526</v>
      </c>
      <c r="G54" s="11" t="n">
        <v>0.05355797370291526</v>
      </c>
    </row>
    <row r="55">
      <c r="A55" s="7" t="inlineStr">
        <is>
          <t>avg fwd SHOCKED [pre..12]</t>
        </is>
      </c>
      <c r="B55" s="18" t="inlineStr">
        <is>
          <t>avg of scenario fwd[pre_m : 12]</t>
        </is>
      </c>
      <c r="C55" s="14" t="n">
        <v>0.05355797370291526</v>
      </c>
      <c r="D55" s="14" t="n">
        <v>0.0786957322146818</v>
      </c>
      <c r="E55" s="14" t="n">
        <v>0.02847254241327117</v>
      </c>
      <c r="F55" s="14" t="n">
        <v>0.06168891929900481</v>
      </c>
      <c r="G55" s="14" t="n">
        <v>0.04543534206316716</v>
      </c>
    </row>
    <row r="56">
      <c r="A56" s="9" t="inlineStr">
        <is>
          <t>post rate BASE</t>
        </is>
      </c>
      <c r="B56" s="19" t="inlineStr">
        <is>
          <t>coeff_a × avg_post_fwd_base</t>
        </is>
      </c>
      <c r="C56" s="11" t="n">
        <v>0.05355797370291526</v>
      </c>
      <c r="D56" s="11" t="n">
        <v>0.05355797370291526</v>
      </c>
      <c r="E56" s="11" t="n">
        <v>0.05355797370291526</v>
      </c>
      <c r="F56" s="11" t="n">
        <v>0.05355797370291526</v>
      </c>
      <c r="G56" s="11" t="n">
        <v>0.05355797370291526</v>
      </c>
    </row>
    <row r="57">
      <c r="A57" s="7" t="inlineStr">
        <is>
          <t>post rate SHOCKED</t>
        </is>
      </c>
      <c r="B57" s="18" t="inlineStr">
        <is>
          <t>coeff_a × avg_post_fwd_shocked</t>
        </is>
      </c>
      <c r="C57" s="14" t="n">
        <v>0.05355797370291526</v>
      </c>
      <c r="D57" s="14" t="n">
        <v>0.0786957322146818</v>
      </c>
      <c r="E57" s="14" t="n">
        <v>0.02847254241327117</v>
      </c>
      <c r="F57" s="14" t="n">
        <v>0.06168891929900481</v>
      </c>
      <c r="G57" s="14" t="n">
        <v>0.04543534206316716</v>
      </c>
    </row>
    <row r="58">
      <c r="A58" s="9" t="inlineStr">
        <is>
          <t>NII post BASE</t>
        </is>
      </c>
      <c r="B58" s="19" t="inlineStr">
        <is>
          <t>balance × post_rate_base × post_m/12</t>
        </is>
      </c>
      <c r="C58" s="10" t="n">
        <v>7420321.647213914</v>
      </c>
      <c r="D58" s="10" t="n">
        <v>7420321.647213914</v>
      </c>
      <c r="E58" s="10" t="n">
        <v>7420321.647213914</v>
      </c>
      <c r="F58" s="10" t="n">
        <v>7420321.647213914</v>
      </c>
      <c r="G58" s="10" t="n">
        <v>7420321.647213914</v>
      </c>
    </row>
    <row r="59">
      <c r="A59" s="7" t="inlineStr">
        <is>
          <t>NII post SHOCKED</t>
        </is>
      </c>
      <c r="B59" s="18" t="inlineStr">
        <is>
          <t>balance × post_rate_shocked × post_m/12</t>
        </is>
      </c>
      <c r="C59" s="20" t="n">
        <v>7420321.647213914</v>
      </c>
      <c r="D59" s="20" t="n">
        <v>10903094.43996324</v>
      </c>
      <c r="E59" s="20" t="n">
        <v>3944798.658596604</v>
      </c>
      <c r="F59" s="20" t="n">
        <v>8546843.571916562</v>
      </c>
      <c r="G59" s="20" t="n">
        <v>6294951.600111352</v>
      </c>
    </row>
    <row r="60">
      <c r="A60" s="24" t="inlineStr">
        <is>
          <t>── TOTAL NII (formula)──</t>
        </is>
      </c>
      <c r="B60" s="24">
        <f> NII_pre + NII_post_shocked</f>
        <v/>
      </c>
      <c r="C60" s="25" t="n">
        <v>10109850.70486498</v>
      </c>
      <c r="D60" s="25" t="n">
        <v>13592623.49761431</v>
      </c>
      <c r="E60" s="25" t="n">
        <v>6634327.716247672</v>
      </c>
      <c r="F60" s="25" t="n">
        <v>11236372.62956763</v>
      </c>
      <c r="G60" s="25" t="n">
        <v>8984480.657762419</v>
      </c>
    </row>
    <row r="61">
      <c r="A61" s="24" t="inlineStr">
        <is>
          <t>── delta NII (formula)──</t>
        </is>
      </c>
      <c r="B61" s="24">
        <f> NII_post_shocked - NII_post_base</f>
        <v/>
      </c>
      <c r="C61" s="25" t="n">
        <v>0</v>
      </c>
      <c r="D61" s="25" t="n">
        <v>3482772.792749325</v>
      </c>
      <c r="E61" s="25" t="n">
        <v>-3475522.988617309</v>
      </c>
      <c r="F61" s="25" t="n">
        <v>1126521.924702648</v>
      </c>
      <c r="G61" s="25" t="n">
        <v>-1125370.047102561</v>
      </c>
    </row>
    <row r="62">
      <c r="A62" s="24" t="inlineStr">
        <is>
          <t>── Level 1 NII ────────</t>
        </is>
      </c>
      <c r="B62" s="24" t="inlineStr">
        <is>
          <t>balance × nii_unit_rate  [L1 base]</t>
        </is>
      </c>
      <c r="C62" s="25" t="n">
        <v>13543251.10861745</v>
      </c>
      <c r="D62" s="25" t="n">
        <v>13543251.10861745</v>
      </c>
      <c r="E62" s="25" t="n">
        <v>13543251.10861745</v>
      </c>
      <c r="F62" s="25" t="n">
        <v>13543251.10861745</v>
      </c>
      <c r="G62" s="25" t="n">
        <v>13543251.10861745</v>
      </c>
    </row>
    <row r="63">
      <c r="A63" s="24" t="inlineStr">
        <is>
          <t>── Level 1 delta NII ──</t>
        </is>
      </c>
      <c r="B63" s="24" t="inlineStr">
        <is>
          <t>balance × delta_nii_unit  [L1 delta]</t>
        </is>
      </c>
      <c r="C63" s="25" t="n">
        <v>0</v>
      </c>
      <c r="D63" s="25" t="n">
        <v>3934808.661027006</v>
      </c>
      <c r="E63" s="25" t="n">
        <v>-3708423.863212938</v>
      </c>
      <c r="F63" s="25" t="n">
        <v>1884736.694123028</v>
      </c>
      <c r="G63" s="25" t="n">
        <v>-1663836.889675709</v>
      </c>
    </row>
    <row r="65" ht="18" customHeight="1">
      <c r="A65" s="26" t="inlineStr">
        <is>
          <t>SUMMARY — Formula vs Level 1 delta_NII</t>
        </is>
      </c>
      <c r="B65" s="2" t="n"/>
      <c r="C65" s="2" t="n"/>
      <c r="D65" s="2" t="n"/>
      <c r="E65" s="2" t="n"/>
      <c r="F65" s="2" t="n"/>
      <c r="G65" s="3" t="n"/>
    </row>
    <row r="66">
      <c r="A66" s="17" t="inlineStr">
        <is>
          <t>Product</t>
        </is>
      </c>
      <c r="B66" s="17" t="inlineStr">
        <is>
          <t>Method</t>
        </is>
      </c>
      <c r="C66" s="5" t="inlineStr">
        <is>
          <t>par_up</t>
        </is>
      </c>
      <c r="D66" s="5" t="inlineStr">
        <is>
          <t>par_dn</t>
        </is>
      </c>
      <c r="E66" s="5" t="inlineStr">
        <is>
          <t>sr_up</t>
        </is>
      </c>
      <c r="F66" s="5" t="inlineStr">
        <is>
          <t>sr_dn</t>
        </is>
      </c>
    </row>
    <row r="67">
      <c r="A67" s="21" t="inlineStr">
        <is>
          <t>bond_fixed 3000</t>
        </is>
      </c>
      <c r="B67" s="21" t="inlineStr">
        <is>
          <t>Formula</t>
        </is>
      </c>
      <c r="C67" s="22" t="n">
        <v>817340.4940000209</v>
      </c>
      <c r="D67" s="22" t="n">
        <v>-815640.1052029756</v>
      </c>
      <c r="E67" s="22" t="n">
        <v>87916.23530445923</v>
      </c>
      <c r="F67" s="22" t="n">
        <v>-87889.40889561549</v>
      </c>
    </row>
    <row r="68">
      <c r="A68" s="27" t="inlineStr">
        <is>
          <t>bond_fixed 3000</t>
        </is>
      </c>
      <c r="B68" s="27" t="inlineStr">
        <is>
          <t>Level 1</t>
        </is>
      </c>
      <c r="C68" s="28" t="n">
        <v>52544.90093987539</v>
      </c>
      <c r="D68" s="28" t="n">
        <v>-51572.15483316662</v>
      </c>
      <c r="E68" s="28" t="n">
        <v>34728.12886937548</v>
      </c>
      <c r="F68" s="28" t="n">
        <v>-34300.55912466656</v>
      </c>
    </row>
    <row r="69">
      <c r="A69" s="24" t="inlineStr">
        <is>
          <t>mortgage_float 1100</t>
        </is>
      </c>
      <c r="B69" s="24" t="inlineStr">
        <is>
          <t>Formula</t>
        </is>
      </c>
      <c r="C69" s="25" t="n">
        <v>3482772.792749325</v>
      </c>
      <c r="D69" s="25" t="n">
        <v>-3475522.988617309</v>
      </c>
      <c r="E69" s="25" t="n">
        <v>1126521.924702648</v>
      </c>
      <c r="F69" s="25" t="n">
        <v>-1125370.047102561</v>
      </c>
    </row>
    <row r="70">
      <c r="A70" s="29" t="inlineStr">
        <is>
          <t>mortgage_float 1100</t>
        </is>
      </c>
      <c r="B70" s="29" t="inlineStr">
        <is>
          <t>Level 1</t>
        </is>
      </c>
      <c r="C70" s="30" t="n">
        <v>3934808.661027006</v>
      </c>
      <c r="D70" s="30" t="n">
        <v>-3708423.863212938</v>
      </c>
      <c r="E70" s="30" t="n">
        <v>1884736.694123028</v>
      </c>
      <c r="F70" s="30" t="n">
        <v>-1663836.889675709</v>
      </c>
    </row>
  </sheetData>
  <mergeCells count="6">
    <mergeCell ref="A1:T1"/>
    <mergeCell ref="A16:F16"/>
    <mergeCell ref="A3:H3"/>
    <mergeCell ref="A31:G31"/>
    <mergeCell ref="A65:G65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2026-04-19T13:31:02Z</dcterms:created>
  <dcterms:modified xsi:type="dcterms:W3CDTF">2026-04-19T13:31:02Z</dcterms:modified>
</cp:coreProperties>
</file>